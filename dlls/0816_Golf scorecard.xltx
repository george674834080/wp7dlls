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8195" windowHeight="11310" activeTab="1"/>
  </bookViews>
  <sheets>
    <sheet name="18 Buracos c Menor Nº Tacadas" sheetId="1" r:id="rId1"/>
    <sheet name="Partida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<sst xmlns="http://schemas.openxmlformats.org/spreadsheetml/2006/main" count="27" uniqueCount="20">
  <si>
    <r>
      <rPr>
        <sz val="14"/>
        <color rgb="FF339933"/>
        <rFont val="Segoe WP"/>
        <family val="2"/>
      </rPr>
      <t>Instruções:</t>
    </r>
  </si>
  <si>
    <r>
      <rPr>
        <sz val="10"/>
        <color theme="1" tint="0.34998626667073579"/>
        <rFont val="Segoe WP"/>
        <family val="2"/>
      </rPr>
      <t>Introduza o nome de cada jogador e, em seguida, introduza a respetiva pontuação e par para cada buraco.</t>
    </r>
    <r>
      <rPr>
        <sz val="10"/>
        <color theme="1" tint="0.34998626667073579"/>
        <rFont val="Segoe WP"/>
        <family val="2"/>
      </rPr>
      <t xml:space="preserve">
</t>
    </r>
    <r>
      <rPr>
        <sz val="10"/>
        <color theme="1" tint="0.34998626667073579"/>
        <rFont val="Segoe WP"/>
        <family val="2"/>
      </rPr>
      <t>Para obter um cartão de jogo, toque em Destaque e, em seguida, toque em Partida.</t>
    </r>
  </si>
  <si>
    <r>
      <rPr>
        <sz val="10"/>
        <color theme="1" tint="0.34998626667073579"/>
        <rFont val="Segoe WP"/>
        <family val="2"/>
      </rPr>
      <t>Par</t>
    </r>
  </si>
  <si>
    <r>
      <rPr>
        <sz val="10"/>
        <color theme="0"/>
        <rFont val="Segoe WP"/>
        <family val="2"/>
      </rPr>
      <t>[jogador 1]</t>
    </r>
  </si>
  <si>
    <r>
      <rPr>
        <sz val="20"/>
        <color rgb="FF339933"/>
        <rFont val="Segoe WP SemiLight"/>
        <family val="2"/>
      </rPr>
      <t>Cartão de Jogo de Golfe</t>
    </r>
  </si>
  <si>
    <t>[jogador 3]</t>
  </si>
  <si>
    <t>[jogador 4]</t>
  </si>
  <si>
    <t>Pontuação bruta</t>
  </si>
  <si>
    <t>Handicap</t>
  </si>
  <si>
    <t>Pontuação final</t>
  </si>
  <si>
    <t>[jogador 2]</t>
  </si>
  <si>
    <t>[handicap]</t>
  </si>
  <si>
    <t>[jogador 1]</t>
  </si>
  <si>
    <t>Instruções:</t>
  </si>
  <si>
    <t>Cartão de Jogo de Golfe</t>
  </si>
  <si>
    <t>Introduza o nome de cada jogador e, em seguida, introduza a respetiva pontuação e par para cada buraco.
Para obter um cartão de jogo, toque em Destaque e, em seguida, toque em Partida.</t>
  </si>
  <si>
    <t>Par</t>
  </si>
  <si>
    <t>Total</t>
  </si>
  <si>
    <t>Líder</t>
  </si>
  <si>
    <t>Pontuação da partida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</si>
</sst>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33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3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  <font>
      <sz val="14"/>
      <color rgb="FF339933"/>
      <name val="Segoe WP"/>
      <family val="2"/>
    </font>
    <font>
      <sz val="10"/>
      <color theme="1" tint="0.34998626667073579"/>
      <name val="Segoe WP"/>
      <family val="2"/>
    </font>
    <font>
      <sz val="10"/>
      <color theme="0"/>
      <name val="Segoe WP"/>
      <family val="2"/>
    </font>
    <font>
      <sz val="20"/>
      <color rgb="FF339933"/>
      <name val="Segoe WP SemiLight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5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4" fillId="3" borderId="0" xfId="1" applyFont="1" applyFill="1" applyBorder="1" applyAlignment="1">
      <alignment horizontal="left" vertical="center"/>
    </xf>
    <xf numFmtId="0" fontId="15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/>
    </xf>
    <xf numFmtId="0" fontId="17" fillId="3" borderId="0" xfId="1" applyFont="1" applyFill="1" applyBorder="1" applyAlignment="1"/>
    <xf numFmtId="0" fontId="18" fillId="3" borderId="0" xfId="0" applyFont="1" applyFill="1" applyBorder="1" applyAlignment="1">
      <alignment horizontal="center"/>
    </xf>
    <xf numFmtId="0" fontId="18" fillId="3" borderId="0" xfId="1" applyFont="1" applyFill="1" applyBorder="1" applyAlignment="1">
      <alignment horizontal="left" vertical="center" wrapText="1"/>
    </xf>
    <xf numFmtId="0" fontId="19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20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4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0" fontId="24" fillId="5" borderId="2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left"/>
    </xf>
    <xf numFmtId="0" fontId="12" fillId="3" borderId="2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right" vertical="center"/>
    </xf>
    <xf numFmtId="0" fontId="31" fillId="5" borderId="2" xfId="1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6" fillId="3" borderId="0" xfId="0" applyFont="1" applyFill="1" applyAlignment="1">
      <alignment horizontal="left" vertical="center"/>
    </xf>
    <xf numFmtId="0" fontId="27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C4C2C5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zoomScaleNormal="100" workbookViewId="0">
      <selection activeCell="H10" sqref="H10"/>
    </sheetView>
  </sheetViews>
  <sheetFormatPr defaultRowHeight="14.25"/>
  <cols>
    <col min="1" max="1" width="15.375" style="1" customWidth="1"/>
    <col min="2" max="2" width="10.625" style="2" customWidth="1"/>
    <col min="3" max="6" width="10.625" style="1" customWidth="1"/>
    <col min="7" max="16384" width="9" style="1"/>
  </cols>
  <sheetData>
    <row r="1" spans="1:26" ht="42.75" customHeight="1">
      <c r="A1" s="6"/>
      <c r="B1" s="57" t="s">
        <v>4</v>
      </c>
      <c r="C1" s="57"/>
      <c r="D1" s="57"/>
      <c r="E1" s="57"/>
      <c r="F1" s="57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>
      <c r="A2" s="6"/>
      <c r="B2" s="58" t="s">
        <v>0</v>
      </c>
      <c r="C2" s="58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78" customHeight="1">
      <c r="A3" s="6"/>
      <c r="B3" s="55" t="s">
        <v>1</v>
      </c>
      <c r="C3" s="56"/>
      <c r="D3" s="56"/>
      <c r="E3" s="56"/>
      <c r="F3" s="5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>
      <c r="A4" s="6"/>
      <c r="B4" s="35"/>
      <c r="C4" s="36"/>
      <c r="D4" s="36"/>
      <c r="E4" s="36"/>
      <c r="F4" s="3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19.5" customHeight="1">
      <c r="A5" s="9"/>
      <c r="B5" s="37" t="s">
        <v>2</v>
      </c>
      <c r="C5" s="45" t="s">
        <v>3</v>
      </c>
      <c r="D5" s="54" t="s">
        <v>10</v>
      </c>
      <c r="E5" s="45" t="s">
        <v>5</v>
      </c>
      <c r="F5" s="45" t="s">
        <v>6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10">
        <v>1</v>
      </c>
      <c r="B6" s="41"/>
      <c r="C6" s="41"/>
      <c r="D6" s="41"/>
      <c r="E6" s="41"/>
      <c r="F6" s="41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>
      <c r="A7" s="10">
        <v>2</v>
      </c>
      <c r="B7" s="41"/>
      <c r="C7" s="41"/>
      <c r="D7" s="41"/>
      <c r="E7" s="41"/>
      <c r="F7" s="41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3</v>
      </c>
      <c r="B8" s="41"/>
      <c r="C8" s="41"/>
      <c r="D8" s="41"/>
      <c r="E8" s="41"/>
      <c r="F8" s="41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4</v>
      </c>
      <c r="B9" s="41"/>
      <c r="C9" s="41"/>
      <c r="D9" s="41"/>
      <c r="E9" s="41"/>
      <c r="F9" s="41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5</v>
      </c>
      <c r="B10" s="41"/>
      <c r="C10" s="41"/>
      <c r="D10" s="41"/>
      <c r="E10" s="41"/>
      <c r="F10" s="41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6</v>
      </c>
      <c r="B11" s="41"/>
      <c r="C11" s="41"/>
      <c r="D11" s="41"/>
      <c r="E11" s="41"/>
      <c r="F11" s="41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7</v>
      </c>
      <c r="B12" s="41"/>
      <c r="C12" s="41"/>
      <c r="D12" s="41"/>
      <c r="E12" s="41"/>
      <c r="F12" s="41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8</v>
      </c>
      <c r="B13" s="41"/>
      <c r="C13" s="41"/>
      <c r="D13" s="41"/>
      <c r="E13" s="41"/>
      <c r="F13" s="41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9</v>
      </c>
      <c r="B14" s="41"/>
      <c r="C14" s="41"/>
      <c r="D14" s="41"/>
      <c r="E14" s="41"/>
      <c r="F14" s="41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10</v>
      </c>
      <c r="B15" s="41"/>
      <c r="C15" s="41"/>
      <c r="D15" s="41"/>
      <c r="E15" s="41"/>
      <c r="F15" s="41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11</v>
      </c>
      <c r="B16" s="41"/>
      <c r="C16" s="41"/>
      <c r="D16" s="41"/>
      <c r="E16" s="41"/>
      <c r="F16" s="41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12</v>
      </c>
      <c r="B17" s="41"/>
      <c r="C17" s="41"/>
      <c r="D17" s="41"/>
      <c r="E17" s="41"/>
      <c r="F17" s="41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13</v>
      </c>
      <c r="B18" s="41"/>
      <c r="C18" s="41"/>
      <c r="D18" s="41"/>
      <c r="E18" s="41"/>
      <c r="F18" s="41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14</v>
      </c>
      <c r="B19" s="41"/>
      <c r="C19" s="41"/>
      <c r="D19" s="41"/>
      <c r="E19" s="41"/>
      <c r="F19" s="41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15</v>
      </c>
      <c r="B20" s="41"/>
      <c r="C20" s="41"/>
      <c r="D20" s="41"/>
      <c r="E20" s="41"/>
      <c r="F20" s="41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16</v>
      </c>
      <c r="B21" s="41"/>
      <c r="C21" s="41"/>
      <c r="D21" s="41"/>
      <c r="E21" s="41"/>
      <c r="F21" s="41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17</v>
      </c>
      <c r="B22" s="41"/>
      <c r="C22" s="41"/>
      <c r="D22" s="41"/>
      <c r="E22" s="41"/>
      <c r="F22" s="41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18</v>
      </c>
      <c r="B23" s="41"/>
      <c r="C23" s="41"/>
      <c r="D23" s="41"/>
      <c r="E23" s="41"/>
      <c r="F23" s="41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19.5" customHeight="1">
      <c r="A24" s="53" t="s">
        <v>7</v>
      </c>
      <c r="B24" s="42">
        <f>IF(SUM(B6:B23)&gt;0,SUM(B6:B23), 72)</f>
        <v>72</v>
      </c>
      <c r="C24" s="42">
        <f>SUM(C6:C23)</f>
        <v>0</v>
      </c>
      <c r="D24" s="42">
        <f t="shared" ref="D24:F24" si="0">SUM(D6:D23)</f>
        <v>0</v>
      </c>
      <c r="E24" s="42">
        <f t="shared" si="0"/>
        <v>0</v>
      </c>
      <c r="F24" s="42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19.5" customHeight="1">
      <c r="A25" s="10" t="s">
        <v>8</v>
      </c>
      <c r="B25" s="41"/>
      <c r="C25" s="41"/>
      <c r="D25" s="41"/>
      <c r="E25" s="41"/>
      <c r="F25" s="41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12" t="s">
        <v>9</v>
      </c>
      <c r="B26" s="43"/>
      <c r="C26" s="44">
        <f>C24-C25</f>
        <v>0</v>
      </c>
      <c r="D26" s="44">
        <f t="shared" ref="D26:F26" si="1">D24-D25</f>
        <v>0</v>
      </c>
      <c r="E26" s="44">
        <f t="shared" si="1"/>
        <v>0</v>
      </c>
      <c r="F26" s="44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1:F1"/>
    <mergeCell ref="B2:C2"/>
  </mergeCells>
  <pageMargins left="0.7" right="0.7" top="0.75" bottom="0.75" header="0.3" footer="0.3"/>
  <pageSetup orientation="portrait" horizont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workbookViewId="0">
      <selection activeCell="K7" sqref="K7"/>
    </sheetView>
  </sheetViews>
  <sheetFormatPr defaultRowHeight="14.25"/>
  <cols>
    <col min="1" max="1" width="5" style="1" customWidth="1"/>
    <col min="2" max="3" width="9.625" style="1" customWidth="1"/>
    <col min="4" max="4" width="0.875" style="3" customWidth="1"/>
    <col min="5" max="6" width="11.25" style="1" customWidth="1"/>
    <col min="7" max="7" width="0.875" style="3" customWidth="1"/>
    <col min="8" max="9" width="11.25" style="1" customWidth="1"/>
    <col min="10" max="10" width="0.875" style="1" customWidth="1"/>
    <col min="11" max="11" width="13.875" style="1" customWidth="1"/>
    <col min="12" max="12" width="10.625" style="1" customWidth="1"/>
    <col min="13" max="16384" width="9" style="1"/>
  </cols>
  <sheetData>
    <row r="1" spans="1:26" s="4" customFormat="1" ht="45" customHeight="1">
      <c r="A1" s="14"/>
      <c r="B1" s="57" t="s">
        <v>14</v>
      </c>
      <c r="C1" s="57"/>
      <c r="D1" s="57"/>
      <c r="E1" s="57"/>
      <c r="F1" s="57"/>
      <c r="G1" s="57"/>
      <c r="H1" s="57"/>
      <c r="I1" s="57"/>
      <c r="J1" s="57"/>
      <c r="K1" s="57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>
      <c r="A2" s="16"/>
      <c r="B2" s="60" t="s">
        <v>13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66" customHeight="1">
      <c r="A3" s="16"/>
      <c r="B3" s="55" t="s">
        <v>15</v>
      </c>
      <c r="C3" s="64"/>
      <c r="D3" s="64"/>
      <c r="E3" s="64"/>
      <c r="F3" s="64"/>
      <c r="G3" s="64"/>
      <c r="H3" s="64"/>
      <c r="I3" s="64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>
      <c r="A5" s="63"/>
      <c r="B5" s="63"/>
      <c r="C5" s="51"/>
      <c r="D5" s="51"/>
      <c r="E5" s="62" t="s">
        <v>12</v>
      </c>
      <c r="F5" s="62"/>
      <c r="G5" s="22"/>
      <c r="H5" s="62" t="s">
        <v>10</v>
      </c>
      <c r="I5" s="62"/>
      <c r="J5" s="23"/>
      <c r="K5" s="24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6"/>
      <c r="B6" s="16"/>
      <c r="C6" s="18"/>
      <c r="D6" s="18"/>
      <c r="E6" s="59" t="s">
        <v>11</v>
      </c>
      <c r="F6" s="59"/>
      <c r="G6" s="25"/>
      <c r="H6" s="59" t="s">
        <v>11</v>
      </c>
      <c r="I6" s="59"/>
      <c r="J6" s="26"/>
      <c r="K6" s="27"/>
      <c r="L6" s="27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>
      <c r="A7" s="28"/>
      <c r="B7" s="46" t="s">
        <v>8</v>
      </c>
      <c r="C7" s="46" t="s">
        <v>16</v>
      </c>
      <c r="D7" s="29"/>
      <c r="E7" s="52" t="s">
        <v>7</v>
      </c>
      <c r="F7" s="50" t="s">
        <v>9</v>
      </c>
      <c r="G7" s="30"/>
      <c r="H7" s="52" t="s">
        <v>7</v>
      </c>
      <c r="I7" s="50" t="s">
        <v>9</v>
      </c>
      <c r="J7" s="30"/>
      <c r="K7" s="46" t="s">
        <v>19</v>
      </c>
      <c r="L7" s="46" t="s">
        <v>18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1</v>
      </c>
      <c r="B8" s="47"/>
      <c r="C8" s="47"/>
      <c r="D8" s="31"/>
      <c r="E8" s="47"/>
      <c r="F8" s="48" t="str">
        <f>IF(ISBLANK(E8), "", E8-(TRUNC(E$6/18)+(MOD(E$6,18)&gt;=$B8)))</f>
        <v/>
      </c>
      <c r="G8" s="32"/>
      <c r="H8" s="47"/>
      <c r="I8" s="48" t="str">
        <f t="shared" ref="I8:I25" si="0">IF(ISBLANK(H8), "", H8-(TRUNC(H$6/18)+(MOD(H$6,18)&gt;=$B8)))</f>
        <v/>
      </c>
      <c r="J8" s="32"/>
      <c r="K8" s="49" t="str">
        <f>IF(ISBLANK(E8), "", IF(F8&lt;I8,1,(IF(I8&lt;F8,-1,0))))</f>
        <v/>
      </c>
      <c r="L8" s="48" t="str">
        <f t="shared" ref="L8:L25" si="1">IF(ISBLANK(E8), "", IF(K8&gt;0,$E$5,(IF(K8&lt;0,$H$5,"Tied"))))</f>
        <v/>
      </c>
      <c r="M8" s="6"/>
      <c r="N8" s="33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2</v>
      </c>
      <c r="B9" s="47"/>
      <c r="C9" s="47"/>
      <c r="D9" s="31"/>
      <c r="E9" s="47"/>
      <c r="F9" s="48" t="str">
        <f t="shared" ref="F9:F25" si="2">IF(ISBLANK(E9), "", E9-(TRUNC(E$6/18)+(MOD(E$6,18)&gt;=$B9)))</f>
        <v/>
      </c>
      <c r="G9" s="32"/>
      <c r="H9" s="47"/>
      <c r="I9" s="48" t="str">
        <f t="shared" si="0"/>
        <v/>
      </c>
      <c r="J9" s="32"/>
      <c r="K9" s="49" t="str">
        <f>IF(ISBLANK(E9), "", IF(F9&lt;I9,K8+1,(IF(I9&lt;F9,K8-1,K8))))</f>
        <v/>
      </c>
      <c r="L9" s="48" t="str">
        <f t="shared" si="1"/>
        <v/>
      </c>
      <c r="M9" s="6"/>
      <c r="N9" s="40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3</v>
      </c>
      <c r="B10" s="47"/>
      <c r="C10" s="47"/>
      <c r="D10" s="31"/>
      <c r="E10" s="47"/>
      <c r="F10" s="48" t="str">
        <f t="shared" si="2"/>
        <v/>
      </c>
      <c r="G10" s="32"/>
      <c r="H10" s="47"/>
      <c r="I10" s="48" t="str">
        <f t="shared" si="0"/>
        <v/>
      </c>
      <c r="J10" s="32"/>
      <c r="K10" s="49"/>
      <c r="L10" s="48" t="str">
        <f t="shared" si="1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4</v>
      </c>
      <c r="B11" s="47"/>
      <c r="C11" s="47"/>
      <c r="D11" s="31"/>
      <c r="E11" s="47"/>
      <c r="F11" s="48" t="str">
        <f t="shared" si="2"/>
        <v/>
      </c>
      <c r="G11" s="32"/>
      <c r="H11" s="47"/>
      <c r="I11" s="48" t="str">
        <f t="shared" si="0"/>
        <v/>
      </c>
      <c r="J11" s="32"/>
      <c r="K11" s="49"/>
      <c r="L11" s="48" t="str">
        <f t="shared" si="1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5</v>
      </c>
      <c r="B12" s="47"/>
      <c r="C12" s="47"/>
      <c r="D12" s="31"/>
      <c r="E12" s="47"/>
      <c r="F12" s="48" t="str">
        <f t="shared" si="2"/>
        <v/>
      </c>
      <c r="G12" s="32"/>
      <c r="H12" s="47"/>
      <c r="I12" s="48" t="str">
        <f t="shared" si="0"/>
        <v/>
      </c>
      <c r="J12" s="32"/>
      <c r="K12" s="49"/>
      <c r="L12" s="48" t="str">
        <f t="shared" si="1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6</v>
      </c>
      <c r="B13" s="47"/>
      <c r="C13" s="47"/>
      <c r="D13" s="31"/>
      <c r="E13" s="47"/>
      <c r="F13" s="48" t="str">
        <f t="shared" si="2"/>
        <v/>
      </c>
      <c r="G13" s="32"/>
      <c r="H13" s="47"/>
      <c r="I13" s="48" t="str">
        <f t="shared" si="0"/>
        <v/>
      </c>
      <c r="J13" s="32"/>
      <c r="K13" s="49"/>
      <c r="L13" s="48" t="str">
        <f t="shared" si="1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7</v>
      </c>
      <c r="B14" s="47"/>
      <c r="C14" s="47"/>
      <c r="D14" s="31"/>
      <c r="E14" s="47"/>
      <c r="F14" s="48" t="str">
        <f t="shared" si="2"/>
        <v/>
      </c>
      <c r="G14" s="32"/>
      <c r="H14" s="47"/>
      <c r="I14" s="48" t="str">
        <f t="shared" si="0"/>
        <v/>
      </c>
      <c r="J14" s="32"/>
      <c r="K14" s="49"/>
      <c r="L14" s="48" t="str">
        <f t="shared" si="1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8</v>
      </c>
      <c r="B15" s="47"/>
      <c r="C15" s="47"/>
      <c r="D15" s="31"/>
      <c r="E15" s="47"/>
      <c r="F15" s="48" t="str">
        <f t="shared" si="2"/>
        <v/>
      </c>
      <c r="G15" s="32"/>
      <c r="H15" s="47"/>
      <c r="I15" s="48" t="str">
        <f t="shared" si="0"/>
        <v/>
      </c>
      <c r="J15" s="32"/>
      <c r="K15" s="49"/>
      <c r="L15" s="48" t="str">
        <f t="shared" si="1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9</v>
      </c>
      <c r="B16" s="47"/>
      <c r="C16" s="47"/>
      <c r="D16" s="31"/>
      <c r="E16" s="47"/>
      <c r="F16" s="48" t="str">
        <f t="shared" si="2"/>
        <v/>
      </c>
      <c r="G16" s="32"/>
      <c r="H16" s="47"/>
      <c r="I16" s="48" t="str">
        <f t="shared" si="0"/>
        <v/>
      </c>
      <c r="J16" s="32"/>
      <c r="K16" s="49"/>
      <c r="L16" s="48" t="str">
        <f t="shared" si="1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10</v>
      </c>
      <c r="B17" s="47"/>
      <c r="C17" s="47"/>
      <c r="D17" s="31"/>
      <c r="E17" s="47"/>
      <c r="F17" s="48" t="str">
        <f t="shared" si="2"/>
        <v/>
      </c>
      <c r="G17" s="32"/>
      <c r="H17" s="47"/>
      <c r="I17" s="48" t="str">
        <f t="shared" si="0"/>
        <v/>
      </c>
      <c r="J17" s="32"/>
      <c r="K17" s="49"/>
      <c r="L17" s="48" t="str">
        <f t="shared" si="1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11</v>
      </c>
      <c r="B18" s="47"/>
      <c r="C18" s="47"/>
      <c r="D18" s="31"/>
      <c r="E18" s="47"/>
      <c r="F18" s="48" t="str">
        <f t="shared" si="2"/>
        <v/>
      </c>
      <c r="G18" s="32"/>
      <c r="H18" s="47"/>
      <c r="I18" s="48" t="str">
        <f t="shared" si="0"/>
        <v/>
      </c>
      <c r="J18" s="32"/>
      <c r="K18" s="49"/>
      <c r="L18" s="48" t="str">
        <f t="shared" si="1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12</v>
      </c>
      <c r="B19" s="47"/>
      <c r="C19" s="47"/>
      <c r="D19" s="31"/>
      <c r="E19" s="47"/>
      <c r="F19" s="48" t="str">
        <f t="shared" si="2"/>
        <v/>
      </c>
      <c r="G19" s="32"/>
      <c r="H19" s="47"/>
      <c r="I19" s="48" t="str">
        <f t="shared" si="0"/>
        <v/>
      </c>
      <c r="J19" s="32"/>
      <c r="K19" s="49"/>
      <c r="L19" s="48" t="str">
        <f t="shared" si="1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13</v>
      </c>
      <c r="B20" s="47"/>
      <c r="C20" s="47"/>
      <c r="D20" s="31"/>
      <c r="E20" s="47"/>
      <c r="F20" s="48" t="str">
        <f t="shared" si="2"/>
        <v/>
      </c>
      <c r="G20" s="32"/>
      <c r="H20" s="47"/>
      <c r="I20" s="48" t="str">
        <f t="shared" si="0"/>
        <v/>
      </c>
      <c r="J20" s="32"/>
      <c r="K20" s="49"/>
      <c r="L20" s="48" t="str">
        <f t="shared" si="1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14</v>
      </c>
      <c r="B21" s="47"/>
      <c r="C21" s="47"/>
      <c r="D21" s="31"/>
      <c r="E21" s="47"/>
      <c r="F21" s="48" t="str">
        <f t="shared" si="2"/>
        <v/>
      </c>
      <c r="G21" s="32"/>
      <c r="H21" s="47"/>
      <c r="I21" s="48" t="str">
        <f t="shared" si="0"/>
        <v/>
      </c>
      <c r="J21" s="32"/>
      <c r="K21" s="49"/>
      <c r="L21" s="48" t="str">
        <f t="shared" si="1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15</v>
      </c>
      <c r="B22" s="47"/>
      <c r="C22" s="47"/>
      <c r="D22" s="31"/>
      <c r="E22" s="47"/>
      <c r="F22" s="48" t="str">
        <f t="shared" si="2"/>
        <v/>
      </c>
      <c r="G22" s="32"/>
      <c r="H22" s="47"/>
      <c r="I22" s="48" t="str">
        <f t="shared" si="0"/>
        <v/>
      </c>
      <c r="J22" s="32"/>
      <c r="K22" s="49"/>
      <c r="L22" s="48" t="str">
        <f t="shared" si="1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16</v>
      </c>
      <c r="B23" s="47"/>
      <c r="C23" s="47"/>
      <c r="D23" s="31"/>
      <c r="E23" s="47"/>
      <c r="F23" s="48" t="str">
        <f t="shared" si="2"/>
        <v/>
      </c>
      <c r="G23" s="32"/>
      <c r="H23" s="47"/>
      <c r="I23" s="48" t="str">
        <f t="shared" si="0"/>
        <v/>
      </c>
      <c r="J23" s="32"/>
      <c r="K23" s="49"/>
      <c r="L23" s="48" t="str">
        <f t="shared" si="1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10">
        <v>17</v>
      </c>
      <c r="B24" s="47"/>
      <c r="C24" s="47"/>
      <c r="D24" s="31"/>
      <c r="E24" s="47"/>
      <c r="F24" s="48" t="str">
        <f t="shared" si="2"/>
        <v/>
      </c>
      <c r="G24" s="32"/>
      <c r="H24" s="47"/>
      <c r="I24" s="48" t="str">
        <f t="shared" si="0"/>
        <v/>
      </c>
      <c r="J24" s="32"/>
      <c r="K24" s="49"/>
      <c r="L24" s="48" t="str">
        <f t="shared" si="1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10">
        <v>18</v>
      </c>
      <c r="B25" s="47"/>
      <c r="C25" s="47"/>
      <c r="D25" s="31"/>
      <c r="E25" s="47"/>
      <c r="F25" s="48" t="str">
        <f t="shared" si="2"/>
        <v/>
      </c>
      <c r="G25" s="32"/>
      <c r="H25" s="47"/>
      <c r="I25" s="48" t="str">
        <f t="shared" si="0"/>
        <v/>
      </c>
      <c r="J25" s="32"/>
      <c r="K25" s="49"/>
      <c r="L25" s="48" t="str">
        <f t="shared" si="1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19.5" customHeight="1">
      <c r="A26" s="11"/>
      <c r="B26" s="45" t="s">
        <v>17</v>
      </c>
      <c r="C26" s="44">
        <f>IF(SUM(C8:C25)&gt;0,SUM(C8:C25), 72)</f>
        <v>72</v>
      </c>
      <c r="D26" s="32"/>
      <c r="E26" s="44">
        <f>SUM(E8:E25)</f>
        <v>0</v>
      </c>
      <c r="F26" s="44">
        <f>SUM(F8:F25)</f>
        <v>0</v>
      </c>
      <c r="G26" s="32"/>
      <c r="H26" s="44">
        <f>SUM(H8:H25)</f>
        <v>0</v>
      </c>
      <c r="I26" s="44">
        <f>SUM(I8:I25)</f>
        <v>0</v>
      </c>
      <c r="J26" s="34"/>
      <c r="K26" s="38"/>
      <c r="L26" s="39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8">
    <mergeCell ref="E6:F6"/>
    <mergeCell ref="H6:I6"/>
    <mergeCell ref="B2:L2"/>
    <mergeCell ref="B1:K1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18 Buracos c Menor Nº Tacadas</vt:lpstr>
      <vt:lpstr>Partida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2011-03-30T21:14:35Z</dcterms:created>
  <dcterms:modified xsi:type="dcterms:W3CDTF">2011-06-30T01:57:34Z</dcterms:modified>
</cp:coreProperties>
</file>